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ukesh-kumar_jangid_ext_capgemini_com/Documents/Desktop/Training/Trainings/4. NGT Program/7. Week 7/"/>
    </mc:Choice>
  </mc:AlternateContent>
  <xr:revisionPtr revIDLastSave="2431" documentId="11_F25DC773A252ABDACC1048A9699849545BDE58EF" xr6:coauthVersionLast="47" xr6:coauthVersionMax="47" xr10:uidLastSave="{8516093A-F6A9-4AD5-8D02-B49291730B57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Sheet1!$B$1:$G$26</definedName>
    <definedName name="_xlnm._FilterDatabase" localSheetId="1" hidden="1">Sheet2!$A$1:$G$25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" l="1"/>
  <c r="M26" i="1"/>
  <c r="L26" i="1"/>
  <c r="J26" i="1"/>
  <c r="K26" i="1"/>
  <c r="I2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" i="1"/>
</calcChain>
</file>

<file path=xl/sharedStrings.xml><?xml version="1.0" encoding="utf-8"?>
<sst xmlns="http://schemas.openxmlformats.org/spreadsheetml/2006/main" count="455" uniqueCount="121">
  <si>
    <t>GGID</t>
  </si>
  <si>
    <t>Full Name</t>
  </si>
  <si>
    <t>Email ID</t>
  </si>
  <si>
    <t>Location</t>
  </si>
  <si>
    <t>Level</t>
  </si>
  <si>
    <t>Batch</t>
  </si>
  <si>
    <t>Pods</t>
  </si>
  <si>
    <t>Mentor</t>
  </si>
  <si>
    <t>Connect-2</t>
  </si>
  <si>
    <t>Connect-3</t>
  </si>
  <si>
    <t>Connect-4</t>
  </si>
  <si>
    <t>Connect-5</t>
  </si>
  <si>
    <t>Connect-6</t>
  </si>
  <si>
    <t>Attendance</t>
  </si>
  <si>
    <t>RAJESHWARI  MANOHARAN</t>
  </si>
  <si>
    <t>rajeshwari.manoharan@capgemini.com</t>
  </si>
  <si>
    <t>IN Chennai</t>
  </si>
  <si>
    <t>Gopalakrishnan  M</t>
  </si>
  <si>
    <t>gopalakrishnan.m@capgemini.com</t>
  </si>
  <si>
    <t>NEHA SHRIKANT  Chougule</t>
  </si>
  <si>
    <t>neha-shrikant.chougule@capgemini.com</t>
  </si>
  <si>
    <t>IN Pune</t>
  </si>
  <si>
    <t>Saksham  Raj</t>
  </si>
  <si>
    <t>saksham.raj@capgemini.com</t>
  </si>
  <si>
    <t>Sankepalli  Vishnu Sudarshan</t>
  </si>
  <si>
    <t>sankepalli.vishnu-sudarshan@capgemini.com</t>
  </si>
  <si>
    <t>Made  Susheel Kumar</t>
  </si>
  <si>
    <t>made.susheel-kumar@capgemini.com</t>
  </si>
  <si>
    <t>Alumolu Naga  Satthibabu</t>
  </si>
  <si>
    <t>alumolu-naga.satthibabu@capgemini.com</t>
  </si>
  <si>
    <t>IN Hyderabad</t>
  </si>
  <si>
    <t>Vankayala Sri venu  Krishna bhaskara Kiran</t>
  </si>
  <si>
    <t>vankayala-sri-venu.krishna-bhaskara-kiran@capgemini.com</t>
  </si>
  <si>
    <t>Vankadara  Gayathri</t>
  </si>
  <si>
    <t>vankadara.gayathri@capgemini.com</t>
  </si>
  <si>
    <t>IPPILI  Hemini</t>
  </si>
  <si>
    <t>ippili.hemini@capgemini.com</t>
  </si>
  <si>
    <t>ARUKONDA  SAI SREEYA</t>
  </si>
  <si>
    <t>arukonda.saisreeya@capgemini.com</t>
  </si>
  <si>
    <t>BAIROJU  Gayathri</t>
  </si>
  <si>
    <t>bairoju.gayathri@capgemini.com</t>
  </si>
  <si>
    <t>Aarthi  B</t>
  </si>
  <si>
    <t>aarthi.b@capgemini.com</t>
  </si>
  <si>
    <t>Shruti Sanjay  Rahane</t>
  </si>
  <si>
    <t>shruti-sanjay.rahane@capgemini.com</t>
  </si>
  <si>
    <t>Raj kumar  Paruvu</t>
  </si>
  <si>
    <t>raj-kumar.paruvu@capgemini.com</t>
  </si>
  <si>
    <t>Kumarapu  Sai Sravanthi</t>
  </si>
  <si>
    <t>kumarapu.sai-sravanthi@capgemini.com</t>
  </si>
  <si>
    <t>SAROJA  GORLI</t>
  </si>
  <si>
    <t>saroja.gorli@capgemini.com</t>
  </si>
  <si>
    <t>Kotluru  Vamsieswar Reddy</t>
  </si>
  <si>
    <t>kotluru.vamsieswar-reddy@capgemini.com</t>
  </si>
  <si>
    <t>Mohd  Arshad</t>
  </si>
  <si>
    <t>mohd.a.arshad@capgemini.com</t>
  </si>
  <si>
    <t>Sugi  S</t>
  </si>
  <si>
    <t>sugi.s@capgemini.com</t>
  </si>
  <si>
    <t>Vijay  Soundarajan</t>
  </si>
  <si>
    <t>vijay.soundarajan@capgemini.com</t>
  </si>
  <si>
    <t>Sahil Rahul  Talwar</t>
  </si>
  <si>
    <t>sahil-rahul.talwar@capgemini.com</t>
  </si>
  <si>
    <t>Shalini Vishnu  Bawankule</t>
  </si>
  <si>
    <t>shalini-vishnu.bawankule@capgemini.com</t>
  </si>
  <si>
    <t>M  Niraj</t>
  </si>
  <si>
    <t>m.niraj@capgemini.com</t>
  </si>
  <si>
    <t>LEVEL-6,5,4,3</t>
  </si>
  <si>
    <t xml:space="preserve">  Bank-Array-TDD Junit  &amp;   Bank-Collection-TDD Mockito&amp;GameScheduler &amp; Exception Library</t>
  </si>
  <si>
    <t>Count=12,7,4,1</t>
  </si>
  <si>
    <t>Connect-1 (10 March 2026)</t>
  </si>
  <si>
    <t>A</t>
  </si>
  <si>
    <t>P</t>
  </si>
  <si>
    <t>Allocated to project</t>
  </si>
  <si>
    <t>Feedback (10 March 2026)</t>
  </si>
  <si>
    <t>Feedback (11 March 2026)</t>
  </si>
  <si>
    <t>Feedback(12 March 2026)</t>
  </si>
  <si>
    <t>CHANGES TO ONLY ONE Map</t>
  </si>
  <si>
    <t>Need TO change</t>
  </si>
  <si>
    <t>Need to change</t>
  </si>
  <si>
    <t>Need to check the flow of save into the map</t>
  </si>
  <si>
    <t>Need to check the flow of save into the map, Did not implement the dict variables</t>
  </si>
  <si>
    <t>PREVIOUSLY DONE</t>
  </si>
  <si>
    <t>Customer need to add account</t>
  </si>
  <si>
    <t>NA</t>
  </si>
  <si>
    <t>NGT Engagement Program - Batch2 - Level6 - Pod 1 -Evaluation</t>
  </si>
  <si>
    <t>NGT Engagement Program - Batch2 - Level6 - Pod 2 -Evaluation</t>
  </si>
  <si>
    <t>NGT Engagement Program - Batch2 - Level 6 - Pod 3 -Evaluation</t>
  </si>
  <si>
    <t>NGT Engagement Program - Batch2 - Level5 - Pod 4 -Evaluation</t>
  </si>
  <si>
    <t>NGT Engagement Program - Batch2 - Level5 - Pod 5 -Evaluation</t>
  </si>
  <si>
    <t>NGT Engagement Program - Batch2 - Level4 - Pod 6 -Evaluation</t>
  </si>
  <si>
    <t>NGT Engagement Program - Batch2 - Level6 - Pod 1 -Evaluation: 9:30</t>
  </si>
  <si>
    <t>NGT Engagement Program - Batch2 - Level6 - Pod 2 -Evaluation: 10:00 am</t>
  </si>
  <si>
    <t>NGT Engagement Program - Batch2 - Level 6 - Pod 3 -Evaluation: 10:30</t>
  </si>
  <si>
    <t>NGT Engagement Program - Batch2 - Level5 - Pod 4 -Evaluation: 11:30 am</t>
  </si>
  <si>
    <t>NGT Engagement Program - Batch2 - Level5 - Pod 5 -Evaluation: 12:00 pm</t>
  </si>
  <si>
    <t>NGT Engagement Program - Batch2 - Level4 - Pod 6 -Evaluation: 12:30 pm</t>
  </si>
  <si>
    <t>aditi.rattan-bhardwaj@capgemini.com</t>
  </si>
  <si>
    <t>shyamala.yashaswi@capgemini.com</t>
  </si>
  <si>
    <t>Buvaneshwar</t>
  </si>
  <si>
    <t>buvaneshwar.buvaneshwar@capgemini.com</t>
  </si>
  <si>
    <t>jaya-gangi-reddy.lomada@capgemini.com</t>
  </si>
  <si>
    <t>lokeshwari.p-n@capgemini.com</t>
  </si>
  <si>
    <t>Aditi  Rattan Bhardwaj</t>
  </si>
  <si>
    <t>Shyamala  Yashaswi</t>
  </si>
  <si>
    <t>Jaya Gangi Reddy  Lomada</t>
  </si>
  <si>
    <t>Lokeshwari  P N</t>
  </si>
  <si>
    <t>Java Batch_3 Level_4 (Banking Service)</t>
  </si>
  <si>
    <t>Nisha</t>
  </si>
  <si>
    <t>NGT Engagement Program - Batch3 - Level 4 - Pod 3 -Evaluation: 2:30 pm</t>
  </si>
  <si>
    <t>NGT Engagement Program - Batch2 - Level 6 - Pod 3 -Evaluation: 10:30am</t>
  </si>
  <si>
    <t>Switch case in action factory</t>
  </si>
  <si>
    <t>Game player day not having mapping</t>
  </si>
  <si>
    <t>Completion vs timeline</t>
  </si>
  <si>
    <t>Conceptual understanding</t>
  </si>
  <si>
    <t xml:space="preserve">Communication </t>
  </si>
  <si>
    <t>Participation</t>
  </si>
  <si>
    <t xml:space="preserve"> </t>
  </si>
  <si>
    <t>Needs deeper conceptual clarity and more structured communication.</t>
  </si>
  <si>
    <t>Should improve conceptual depth to match strong communication.</t>
  </si>
  <si>
    <t>Needs to strengthen core Java understanding for better project insight.</t>
  </si>
  <si>
    <t>Can further refine communication with more technical detailing.</t>
  </si>
  <si>
    <t>Should improve conceptual understanding and provide clearer communication.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</si>
</sst>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Segoe UI Emoji"/>
      <family val="2"/>
    </font>
    <font>
      <b/>
      <sz val="8"/>
      <color theme="1"/>
      <name val="Calibri"/>
      <family val="2"/>
      <scheme val="minor"/>
    </font>
    <font>
      <sz val="8"/>
      <color theme="1"/>
      <name val="Segoe UI Emoji"/>
      <family val="2"/>
    </font>
    <font>
      <sz val="10"/>
      <color rgb="FF000000"/>
      <name val="Ubuntu"/>
      <family val="2"/>
    </font>
    <font>
      <sz val="11"/>
      <color theme="1"/>
      <name val="Calibri"/>
      <family val="2"/>
      <scheme val="minor"/>
    </font>
    <font>
      <b/>
      <sz val="10"/>
      <color theme="1"/>
      <name val="Segoe UI Emoji"/>
      <family val="2"/>
    </font>
    <font>
      <sz val="11"/>
      <color rgb="FF000000"/>
      <name val="Calibri"/>
      <family val="2"/>
    </font>
    <font>
      <sz val="10"/>
      <color rgb="FFFF0000"/>
      <name val="Ubuntu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rgb="FFFF0000"/>
      <name val="Calibri"/>
      <family val="2"/>
      <scheme val="minor"/>
    </font>
    <font>
      <sz val="8"/>
      <color rgb="FFFF0000"/>
      <name val="Segoe UI Emoji"/>
      <family val="2"/>
    </font>
    <font>
      <b/>
      <sz val="10"/>
      <color rgb="FFFF0000"/>
      <name val="Segoe UI Emoji"/>
      <family val="2"/>
    </font>
    <font>
      <sz val="10"/>
      <name val="Ubuntu"/>
      <family val="2"/>
    </font>
    <font>
      <sz val="7"/>
      <color rgb="FF0A0A0A"/>
      <name val="Courier New"/>
      <family val="3"/>
    </font>
    <font>
      <sz val="11"/>
      <name val="Calibri"/>
      <family val="2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0" fillId="5" borderId="1" xfId="0" applyFill="1" applyBorder="1"/>
    <xf numFmtId="0" fontId="0" fillId="4" borderId="1" xfId="0" applyFill="1" applyBorder="1"/>
    <xf numFmtId="0" fontId="0" fillId="4" borderId="0" xfId="0" applyFill="1"/>
    <xf numFmtId="0" fontId="0" fillId="0" borderId="1" xfId="0" applyBorder="1"/>
    <xf numFmtId="0" fontId="8" fillId="6" borderId="3" xfId="0" applyFont="1" applyFill="1" applyBorder="1"/>
    <xf numFmtId="15" fontId="8" fillId="6" borderId="3" xfId="0" applyNumberFormat="1" applyFont="1" applyFill="1" applyBorder="1"/>
    <xf numFmtId="0" fontId="5" fillId="7" borderId="6" xfId="0" applyFont="1" applyFill="1" applyBorder="1"/>
    <xf numFmtId="0" fontId="8" fillId="7" borderId="6" xfId="0" applyFont="1" applyFill="1" applyBorder="1"/>
    <xf numFmtId="0" fontId="8" fillId="0" borderId="6" xfId="0" applyFont="1" applyBorder="1"/>
    <xf numFmtId="0" fontId="9" fillId="7" borderId="6" xfId="0" applyFont="1" applyFill="1" applyBorder="1"/>
    <xf numFmtId="0" fontId="10" fillId="7" borderId="6" xfId="0" applyFont="1" applyFill="1" applyBorder="1"/>
    <xf numFmtId="0" fontId="10" fillId="0" borderId="6" xfId="0" applyFont="1" applyBorder="1"/>
    <xf numFmtId="0" fontId="8" fillId="7" borderId="3" xfId="0" applyFont="1" applyFill="1" applyBorder="1"/>
    <xf numFmtId="0" fontId="5" fillId="7" borderId="4" xfId="0" applyFont="1" applyFill="1" applyBorder="1"/>
    <xf numFmtId="0" fontId="9" fillId="7" borderId="4" xfId="0" applyFont="1" applyFill="1" applyBorder="1"/>
    <xf numFmtId="0" fontId="8" fillId="0" borderId="7" xfId="0" applyFont="1" applyBorder="1"/>
    <xf numFmtId="0" fontId="8" fillId="0" borderId="5" xfId="0" applyFont="1" applyBorder="1"/>
    <xf numFmtId="15" fontId="8" fillId="6" borderId="8" xfId="0" applyNumberFormat="1" applyFont="1" applyFill="1" applyBorder="1"/>
    <xf numFmtId="0" fontId="0" fillId="0" borderId="1" xfId="0" applyBorder="1" applyProtection="1">
      <protection locked="0"/>
    </xf>
    <xf numFmtId="0" fontId="4" fillId="8" borderId="1" xfId="0" applyFont="1" applyFill="1" applyBorder="1" applyAlignment="1" applyProtection="1">
      <alignment horizontal="left" vertical="top"/>
      <protection locked="0"/>
    </xf>
    <xf numFmtId="0" fontId="4" fillId="8" borderId="2" xfId="0" applyFont="1" applyFill="1" applyBorder="1" applyProtection="1">
      <protection locked="0"/>
    </xf>
    <xf numFmtId="0" fontId="4" fillId="8" borderId="1" xfId="0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7" fillId="9" borderId="1" xfId="0" applyFont="1" applyFill="1" applyBorder="1" applyProtection="1">
      <protection locked="0"/>
    </xf>
    <xf numFmtId="0" fontId="4" fillId="9" borderId="1" xfId="0" applyFont="1" applyFill="1" applyBorder="1" applyAlignment="1" applyProtection="1">
      <alignment horizontal="left" vertical="top"/>
      <protection locked="0"/>
    </xf>
    <xf numFmtId="0" fontId="4" fillId="9" borderId="2" xfId="0" applyFont="1" applyFill="1" applyBorder="1" applyProtection="1">
      <protection locked="0"/>
    </xf>
    <xf numFmtId="0" fontId="4" fillId="9" borderId="1" xfId="0" applyFont="1" applyFill="1" applyBorder="1" applyAlignment="1" applyProtection="1">
      <alignment horizontal="left"/>
      <protection locked="0"/>
    </xf>
    <xf numFmtId="0" fontId="4" fillId="10" borderId="1" xfId="0" applyFont="1" applyFill="1" applyBorder="1" applyAlignment="1" applyProtection="1">
      <alignment horizontal="left" vertical="top"/>
      <protection locked="0"/>
    </xf>
    <xf numFmtId="0" fontId="4" fillId="10" borderId="1" xfId="0" applyFont="1" applyFill="1" applyBorder="1" applyProtection="1">
      <protection locked="0"/>
    </xf>
    <xf numFmtId="0" fontId="11" fillId="10" borderId="1" xfId="0" applyFont="1" applyFill="1" applyBorder="1" applyProtection="1">
      <protection locked="0"/>
    </xf>
    <xf numFmtId="0" fontId="4" fillId="10" borderId="1" xfId="0" applyFont="1" applyFill="1" applyBorder="1" applyAlignment="1" applyProtection="1">
      <alignment horizontal="center"/>
      <protection locked="0"/>
    </xf>
    <xf numFmtId="0" fontId="4" fillId="10" borderId="1" xfId="0" applyFont="1" applyFill="1" applyBorder="1" applyAlignment="1" applyProtection="1">
      <alignment horizontal="left"/>
      <protection locked="0"/>
    </xf>
    <xf numFmtId="0" fontId="4" fillId="11" borderId="1" xfId="0" applyFont="1" applyFill="1" applyBorder="1" applyProtection="1">
      <protection locked="0"/>
    </xf>
    <xf numFmtId="0" fontId="4" fillId="11" borderId="1" xfId="0" applyFont="1" applyFill="1" applyBorder="1" applyAlignment="1" applyProtection="1">
      <alignment horizontal="center"/>
      <protection locked="0"/>
    </xf>
    <xf numFmtId="0" fontId="4" fillId="11" borderId="1" xfId="0" applyFont="1" applyFill="1" applyBorder="1" applyAlignment="1" applyProtection="1">
      <alignment horizontal="left"/>
      <protection locked="0"/>
    </xf>
    <xf numFmtId="0" fontId="6" fillId="11" borderId="2" xfId="0" applyFont="1" applyFill="1" applyBorder="1" applyProtection="1">
      <protection locked="0"/>
    </xf>
    <xf numFmtId="0" fontId="4" fillId="13" borderId="1" xfId="0" applyFont="1" applyFill="1" applyBorder="1" applyAlignment="1" applyProtection="1">
      <alignment horizontal="left" vertical="top"/>
      <protection locked="0"/>
    </xf>
    <xf numFmtId="0" fontId="4" fillId="13" borderId="1" xfId="0" applyFont="1" applyFill="1" applyBorder="1" applyProtection="1">
      <protection locked="0"/>
    </xf>
    <xf numFmtId="0" fontId="7" fillId="13" borderId="1" xfId="0" applyFont="1" applyFill="1" applyBorder="1" applyProtection="1">
      <protection locked="0"/>
    </xf>
    <xf numFmtId="0" fontId="4" fillId="13" borderId="2" xfId="0" applyFont="1" applyFill="1" applyBorder="1" applyAlignment="1" applyProtection="1">
      <alignment vertical="top"/>
      <protection locked="0"/>
    </xf>
    <xf numFmtId="0" fontId="4" fillId="13" borderId="1" xfId="0" applyFont="1" applyFill="1" applyBorder="1" applyAlignment="1" applyProtection="1">
      <alignment horizontal="left"/>
      <protection locked="0"/>
    </xf>
    <xf numFmtId="0" fontId="4" fillId="13" borderId="1" xfId="0" applyFont="1" applyFill="1" applyBorder="1" applyAlignment="1" applyProtection="1">
      <alignment vertical="top"/>
      <protection locked="0"/>
    </xf>
    <xf numFmtId="0" fontId="0" fillId="12" borderId="1" xfId="0" applyFill="1" applyBorder="1"/>
    <xf numFmtId="15" fontId="12" fillId="14" borderId="3" xfId="0" applyNumberFormat="1" applyFont="1" applyFill="1" applyBorder="1"/>
    <xf numFmtId="0" fontId="6" fillId="9" borderId="2" xfId="0" applyFont="1" applyFill="1" applyBorder="1" applyProtection="1">
      <protection locked="0"/>
    </xf>
    <xf numFmtId="0" fontId="6" fillId="13" borderId="2" xfId="0" applyFont="1" applyFill="1" applyBorder="1" applyProtection="1">
      <protection locked="0"/>
    </xf>
    <xf numFmtId="0" fontId="14" fillId="8" borderId="2" xfId="0" applyFont="1" applyFill="1" applyBorder="1" applyProtection="1">
      <protection locked="0"/>
    </xf>
    <xf numFmtId="0" fontId="14" fillId="8" borderId="1" xfId="0" applyFont="1" applyFill="1" applyBorder="1" applyProtection="1">
      <protection locked="0"/>
    </xf>
    <xf numFmtId="0" fontId="14" fillId="9" borderId="1" xfId="0" applyFont="1" applyFill="1" applyBorder="1" applyProtection="1">
      <protection locked="0"/>
    </xf>
    <xf numFmtId="0" fontId="15" fillId="9" borderId="1" xfId="0" applyFont="1" applyFill="1" applyBorder="1" applyProtection="1">
      <protection locked="0"/>
    </xf>
    <xf numFmtId="0" fontId="13" fillId="9" borderId="2" xfId="0" applyFont="1" applyFill="1" applyBorder="1" applyProtection="1">
      <protection locked="0"/>
    </xf>
    <xf numFmtId="0" fontId="13" fillId="0" borderId="1" xfId="0" applyFont="1" applyBorder="1" applyProtection="1">
      <protection locked="0"/>
    </xf>
    <xf numFmtId="0" fontId="9" fillId="7" borderId="1" xfId="0" applyFont="1" applyFill="1" applyBorder="1" applyAlignment="1">
      <alignment horizontal="left"/>
    </xf>
    <xf numFmtId="0" fontId="16" fillId="7" borderId="4" xfId="0" applyFont="1" applyFill="1" applyBorder="1"/>
    <xf numFmtId="0" fontId="9" fillId="14" borderId="4" xfId="0" applyFont="1" applyFill="1" applyBorder="1"/>
    <xf numFmtId="0" fontId="17" fillId="0" borderId="0" xfId="0" applyFont="1" applyAlignment="1">
      <alignment horizontal="center"/>
    </xf>
    <xf numFmtId="0" fontId="13" fillId="4" borderId="1" xfId="0" applyFont="1" applyFill="1" applyBorder="1"/>
    <xf numFmtId="0" fontId="10" fillId="7" borderId="3" xfId="0" applyFont="1" applyFill="1" applyBorder="1"/>
    <xf numFmtId="0" fontId="18" fillId="7" borderId="6" xfId="0" applyFont="1" applyFill="1" applyBorder="1"/>
    <xf numFmtId="0" fontId="16" fillId="7" borderId="6" xfId="0" applyFont="1" applyFill="1" applyBorder="1"/>
    <xf numFmtId="0" fontId="13" fillId="0" borderId="1" xfId="0" applyFont="1" applyBorder="1"/>
    <xf numFmtId="20" fontId="0" fillId="0" borderId="0" xfId="0" applyNumberFormat="1"/>
    <xf numFmtId="0" fontId="4" fillId="12" borderId="2" xfId="0" applyFont="1" applyFill="1" applyBorder="1" applyProtection="1">
      <protection locked="0"/>
    </xf>
    <xf numFmtId="0" fontId="8" fillId="0" borderId="9" xfId="0" applyFont="1" applyBorder="1"/>
    <xf numFmtId="0" fontId="19" fillId="4" borderId="1" xfId="0" applyFont="1" applyFill="1" applyBorder="1"/>
    <xf numFmtId="0" fontId="18" fillId="0" borderId="9" xfId="0" applyFont="1" applyBorder="1"/>
    <xf numFmtId="0" fontId="19" fillId="4" borderId="10" xfId="0" applyFont="1" applyFill="1" applyBorder="1"/>
    <xf numFmtId="0" fontId="8" fillId="0" borderId="11" xfId="0" applyFont="1" applyBorder="1"/>
    <xf numFmtId="0" fontId="8" fillId="0" borderId="12" xfId="0" applyFont="1" applyBorder="1"/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7017CAAA-2DED-465E-96F9-37859338FDC7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jay.soundarajan@capgemini.com" TargetMode="External"/><Relationship Id="rId2" Type="http://schemas.openxmlformats.org/officeDocument/2006/relationships/hyperlink" Target="mailto:saroja.gorli@capgemini.com" TargetMode="External"/><Relationship Id="rId1" Type="http://schemas.openxmlformats.org/officeDocument/2006/relationships/hyperlink" Target="mailto:kotluru.vamsieswar-reddy@capgemini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ijay.soundarajan@capgemini.com" TargetMode="External"/><Relationship Id="rId2" Type="http://schemas.openxmlformats.org/officeDocument/2006/relationships/hyperlink" Target="mailto:saroja.gorli@capgemini.com" TargetMode="External"/><Relationship Id="rId1" Type="http://schemas.openxmlformats.org/officeDocument/2006/relationships/hyperlink" Target="mailto:kotluru.vamsieswar-reddy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"/>
  <sheetViews>
    <sheetView zoomScale="55" zoomScaleNormal="55" workbookViewId="0">
      <selection activeCell="B28" sqref="B28:B32"/>
    </sheetView>
  </sheetViews>
  <sheetFormatPr defaultColWidth="8.81640625" defaultRowHeight="14.5" x14ac:dyDescent="0.35"/>
  <cols>
    <col min="1" max="1" width="8" bestFit="1" customWidth="1"/>
    <col min="2" max="2" width="31.453125" bestFit="1" customWidth="1"/>
    <col min="3" max="3" width="43.7265625" bestFit="1" customWidth="1"/>
    <col min="4" max="4" width="10.7265625" bestFit="1" customWidth="1"/>
    <col min="5" max="5" width="5.54296875" bestFit="1" customWidth="1"/>
    <col min="6" max="6" width="6.1796875" bestFit="1" customWidth="1"/>
    <col min="7" max="7" width="5.26953125" bestFit="1" customWidth="1"/>
    <col min="8" max="8" width="51.1796875" bestFit="1" customWidth="1"/>
    <col min="9" max="14" width="10.1796875" bestFit="1" customWidth="1"/>
    <col min="15" max="15" width="11.26953125" bestFit="1" customWidth="1"/>
    <col min="16" max="17" width="11.26953125" customWidth="1"/>
    <col min="18" max="18" width="9.453125" bestFit="1" customWidth="1"/>
    <col min="19" max="19" width="17.54296875" customWidth="1"/>
    <col min="20" max="24" width="10.1796875" bestFit="1" customWidth="1"/>
    <col min="25" max="25" width="11.26953125" bestFit="1" customWidth="1"/>
    <col min="26" max="26" width="9.453125" bestFit="1" customWidth="1"/>
    <col min="27" max="27" width="10.7265625" bestFit="1" customWidth="1"/>
    <col min="28" max="28" width="18.54296875" bestFit="1" customWidth="1"/>
    <col min="29" max="29" width="29.26953125" bestFit="1" customWidth="1"/>
    <col min="30" max="30" width="10.26953125" bestFit="1" customWidth="1"/>
  </cols>
  <sheetData>
    <row r="1" spans="1:26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5" t="s">
        <v>68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72</v>
      </c>
      <c r="Q1" s="3" t="s">
        <v>73</v>
      </c>
      <c r="R1" s="3" t="s">
        <v>74</v>
      </c>
      <c r="S1" s="8" t="s">
        <v>111</v>
      </c>
      <c r="T1" s="8" t="s">
        <v>112</v>
      </c>
      <c r="U1" s="8" t="s">
        <v>113</v>
      </c>
      <c r="V1" s="20" t="s">
        <v>114</v>
      </c>
      <c r="W1" s="7"/>
      <c r="X1" s="7"/>
      <c r="Y1" s="7"/>
      <c r="Z1" s="7"/>
    </row>
    <row r="2" spans="1:26" ht="15" x14ac:dyDescent="0.4">
      <c r="A2" s="22">
        <v>30019696</v>
      </c>
      <c r="B2" s="49" t="s">
        <v>14</v>
      </c>
      <c r="C2" s="50" t="s">
        <v>15</v>
      </c>
      <c r="D2" s="51" t="s">
        <v>16</v>
      </c>
      <c r="E2" s="52">
        <v>6</v>
      </c>
      <c r="F2" s="53">
        <v>2</v>
      </c>
      <c r="G2" s="54">
        <v>1</v>
      </c>
      <c r="I2" s="55" t="s">
        <v>69</v>
      </c>
      <c r="J2" s="60" t="s">
        <v>69</v>
      </c>
      <c r="K2" s="60" t="s">
        <v>69</v>
      </c>
      <c r="L2" s="60" t="s">
        <v>69</v>
      </c>
      <c r="M2" s="60" t="s">
        <v>69</v>
      </c>
      <c r="N2" s="60" t="s">
        <v>69</v>
      </c>
      <c r="O2" s="15">
        <f>SUM(I2:N2)</f>
        <v>0</v>
      </c>
      <c r="P2" s="59" t="s">
        <v>71</v>
      </c>
      <c r="Q2" s="59" t="s">
        <v>71</v>
      </c>
      <c r="R2" s="59" t="s">
        <v>71</v>
      </c>
      <c r="S2" s="59" t="s">
        <v>115</v>
      </c>
      <c r="T2" s="11"/>
      <c r="U2" s="19"/>
      <c r="V2" s="18"/>
    </row>
    <row r="3" spans="1:26" ht="15" x14ac:dyDescent="0.4">
      <c r="A3" s="22">
        <v>46335890</v>
      </c>
      <c r="B3" s="23" t="s">
        <v>17</v>
      </c>
      <c r="C3" s="24" t="s">
        <v>18</v>
      </c>
      <c r="D3" s="25" t="s">
        <v>16</v>
      </c>
      <c r="E3" s="26">
        <v>6</v>
      </c>
      <c r="F3" s="47">
        <v>2</v>
      </c>
      <c r="G3" s="21">
        <v>1</v>
      </c>
      <c r="H3" s="25" t="s">
        <v>89</v>
      </c>
      <c r="I3" s="16" t="s">
        <v>70</v>
      </c>
      <c r="J3" s="12" t="s">
        <v>69</v>
      </c>
      <c r="K3" s="9" t="s">
        <v>70</v>
      </c>
      <c r="L3" s="9" t="s">
        <v>70</v>
      </c>
      <c r="M3" s="9" t="s">
        <v>70</v>
      </c>
      <c r="N3" s="9" t="s">
        <v>70</v>
      </c>
      <c r="O3" s="15">
        <f t="shared" ref="O3:O25" si="0">SUM(I3:N3)</f>
        <v>0</v>
      </c>
      <c r="P3" s="15" t="s">
        <v>76</v>
      </c>
      <c r="Q3" s="15" t="s">
        <v>75</v>
      </c>
      <c r="R3" s="4" t="s">
        <v>109</v>
      </c>
      <c r="S3" s="11">
        <v>3</v>
      </c>
      <c r="T3" s="11">
        <v>4</v>
      </c>
      <c r="U3" s="19">
        <v>4</v>
      </c>
      <c r="V3" s="18"/>
    </row>
    <row r="4" spans="1:26" ht="15" x14ac:dyDescent="0.4">
      <c r="A4" s="27">
        <v>30020786</v>
      </c>
      <c r="B4" s="65" t="s">
        <v>19</v>
      </c>
      <c r="C4" s="25" t="s">
        <v>20</v>
      </c>
      <c r="D4" s="25" t="s">
        <v>21</v>
      </c>
      <c r="E4" s="26">
        <v>6</v>
      </c>
      <c r="F4" s="47">
        <v>2</v>
      </c>
      <c r="G4" s="21">
        <v>3</v>
      </c>
      <c r="H4" s="25" t="s">
        <v>108</v>
      </c>
      <c r="I4" s="16" t="s">
        <v>70</v>
      </c>
      <c r="J4" s="9" t="s">
        <v>70</v>
      </c>
      <c r="K4" s="62" t="s">
        <v>70</v>
      </c>
      <c r="L4" s="9" t="s">
        <v>70</v>
      </c>
      <c r="M4" s="9" t="s">
        <v>70</v>
      </c>
      <c r="N4" s="9" t="s">
        <v>70</v>
      </c>
      <c r="O4" s="15">
        <f t="shared" si="0"/>
        <v>0</v>
      </c>
      <c r="P4" s="15" t="s">
        <v>77</v>
      </c>
      <c r="Q4" s="15" t="s">
        <v>75</v>
      </c>
      <c r="R4" s="4" t="s">
        <v>109</v>
      </c>
      <c r="S4" s="67">
        <v>4</v>
      </c>
      <c r="T4" s="11">
        <v>3</v>
      </c>
      <c r="U4" s="19">
        <v>4</v>
      </c>
      <c r="V4" s="18"/>
    </row>
    <row r="5" spans="1:26" ht="15" x14ac:dyDescent="0.4">
      <c r="A5" s="22">
        <v>46364243</v>
      </c>
      <c r="B5" s="23" t="s">
        <v>22</v>
      </c>
      <c r="C5" s="24" t="s">
        <v>23</v>
      </c>
      <c r="D5" s="25" t="s">
        <v>21</v>
      </c>
      <c r="E5" s="26">
        <v>6</v>
      </c>
      <c r="F5" s="47">
        <v>2</v>
      </c>
      <c r="G5" s="21">
        <v>3</v>
      </c>
      <c r="I5" s="17" t="s">
        <v>69</v>
      </c>
      <c r="J5" s="12" t="s">
        <v>69</v>
      </c>
      <c r="K5" s="12" t="s">
        <v>69</v>
      </c>
      <c r="L5" s="12" t="s">
        <v>69</v>
      </c>
      <c r="M5" s="12" t="s">
        <v>69</v>
      </c>
      <c r="N5" s="12" t="s">
        <v>69</v>
      </c>
      <c r="O5" s="15">
        <f t="shared" si="0"/>
        <v>0</v>
      </c>
      <c r="P5" s="60" t="s">
        <v>82</v>
      </c>
      <c r="Q5" s="60" t="s">
        <v>82</v>
      </c>
      <c r="R5" s="60" t="s">
        <v>82</v>
      </c>
      <c r="S5" s="67" t="s">
        <v>115</v>
      </c>
      <c r="T5" s="11"/>
      <c r="U5" s="19"/>
      <c r="V5" s="18"/>
    </row>
    <row r="6" spans="1:26" ht="15" x14ac:dyDescent="0.4">
      <c r="A6" s="27">
        <v>46335070</v>
      </c>
      <c r="B6" s="29" t="s">
        <v>24</v>
      </c>
      <c r="C6" s="25" t="s">
        <v>25</v>
      </c>
      <c r="D6" s="25" t="s">
        <v>16</v>
      </c>
      <c r="E6" s="26">
        <v>6</v>
      </c>
      <c r="F6" s="47">
        <v>2</v>
      </c>
      <c r="G6" s="21">
        <v>1</v>
      </c>
      <c r="H6" s="25" t="s">
        <v>89</v>
      </c>
      <c r="I6" s="16" t="s">
        <v>70</v>
      </c>
      <c r="J6" s="10" t="s">
        <v>70</v>
      </c>
      <c r="K6" s="10" t="s">
        <v>70</v>
      </c>
      <c r="L6" s="10" t="s">
        <v>70</v>
      </c>
      <c r="M6" s="10" t="s">
        <v>70</v>
      </c>
      <c r="N6" s="9" t="s">
        <v>70</v>
      </c>
      <c r="O6" s="15">
        <f t="shared" si="0"/>
        <v>0</v>
      </c>
      <c r="P6" s="15" t="s">
        <v>76</v>
      </c>
      <c r="Q6" s="15" t="s">
        <v>75</v>
      </c>
      <c r="R6" s="4" t="s">
        <v>109</v>
      </c>
      <c r="S6" s="11">
        <v>3</v>
      </c>
      <c r="T6" s="11">
        <v>3</v>
      </c>
      <c r="U6" s="19">
        <v>3</v>
      </c>
      <c r="V6" s="18"/>
    </row>
    <row r="7" spans="1:26" ht="15" x14ac:dyDescent="0.4">
      <c r="A7" s="27">
        <v>46335410</v>
      </c>
      <c r="B7" s="29" t="s">
        <v>26</v>
      </c>
      <c r="C7" s="25" t="s">
        <v>27</v>
      </c>
      <c r="D7" s="25" t="s">
        <v>16</v>
      </c>
      <c r="E7" s="26">
        <v>6</v>
      </c>
      <c r="F7" s="47">
        <v>2</v>
      </c>
      <c r="G7" s="21">
        <v>1</v>
      </c>
      <c r="H7" s="25" t="s">
        <v>89</v>
      </c>
      <c r="I7" s="16" t="s">
        <v>70</v>
      </c>
      <c r="J7" s="10" t="s">
        <v>70</v>
      </c>
      <c r="K7" s="10" t="s">
        <v>70</v>
      </c>
      <c r="L7" s="10" t="s">
        <v>70</v>
      </c>
      <c r="M7" s="10" t="s">
        <v>70</v>
      </c>
      <c r="N7" s="9" t="s">
        <v>70</v>
      </c>
      <c r="O7" s="15">
        <f t="shared" si="0"/>
        <v>0</v>
      </c>
      <c r="P7" s="15" t="s">
        <v>76</v>
      </c>
      <c r="Q7" s="15" t="s">
        <v>75</v>
      </c>
      <c r="R7" s="4" t="s">
        <v>109</v>
      </c>
      <c r="S7" s="67">
        <v>3</v>
      </c>
      <c r="T7" s="66">
        <v>4</v>
      </c>
      <c r="U7" s="18">
        <v>3</v>
      </c>
      <c r="V7" s="18"/>
    </row>
    <row r="8" spans="1:26" ht="15" x14ac:dyDescent="0.4">
      <c r="A8" s="27">
        <v>46313861</v>
      </c>
      <c r="B8" s="29" t="s">
        <v>28</v>
      </c>
      <c r="C8" s="29" t="s">
        <v>29</v>
      </c>
      <c r="D8" s="25" t="s">
        <v>30</v>
      </c>
      <c r="E8" s="26">
        <v>6</v>
      </c>
      <c r="F8" s="47">
        <v>2</v>
      </c>
      <c r="G8" s="21">
        <v>2</v>
      </c>
      <c r="H8" s="25" t="s">
        <v>90</v>
      </c>
      <c r="I8" s="16" t="s">
        <v>70</v>
      </c>
      <c r="J8" s="10" t="s">
        <v>70</v>
      </c>
      <c r="K8" s="10" t="s">
        <v>70</v>
      </c>
      <c r="L8" s="10" t="s">
        <v>70</v>
      </c>
      <c r="M8" s="10" t="s">
        <v>70</v>
      </c>
      <c r="N8" s="10" t="s">
        <v>70</v>
      </c>
      <c r="O8" s="15">
        <f t="shared" si="0"/>
        <v>0</v>
      </c>
      <c r="P8" s="15" t="s">
        <v>77</v>
      </c>
      <c r="Q8" s="15" t="s">
        <v>75</v>
      </c>
      <c r="R8" s="4"/>
      <c r="S8" s="67">
        <v>3</v>
      </c>
      <c r="T8" s="66">
        <v>3</v>
      </c>
      <c r="U8" s="18">
        <v>4</v>
      </c>
      <c r="V8" s="18"/>
    </row>
    <row r="9" spans="1:26" ht="15" x14ac:dyDescent="0.4">
      <c r="A9" s="27">
        <v>46313857</v>
      </c>
      <c r="B9" s="29" t="s">
        <v>31</v>
      </c>
      <c r="C9" s="29" t="s">
        <v>32</v>
      </c>
      <c r="D9" s="25" t="s">
        <v>30</v>
      </c>
      <c r="E9" s="26">
        <v>6</v>
      </c>
      <c r="F9" s="47">
        <v>2</v>
      </c>
      <c r="G9" s="21">
        <v>2</v>
      </c>
      <c r="H9" s="25" t="s">
        <v>90</v>
      </c>
      <c r="I9" s="56" t="s">
        <v>70</v>
      </c>
      <c r="J9" s="10" t="s">
        <v>70</v>
      </c>
      <c r="K9" s="61" t="s">
        <v>70</v>
      </c>
      <c r="L9" s="10" t="s">
        <v>70</v>
      </c>
      <c r="M9" s="61" t="s">
        <v>70</v>
      </c>
      <c r="N9" s="61" t="s">
        <v>70</v>
      </c>
      <c r="O9" s="15">
        <f t="shared" si="0"/>
        <v>0</v>
      </c>
      <c r="P9" s="10" t="s">
        <v>77</v>
      </c>
      <c r="Q9" s="15" t="s">
        <v>75</v>
      </c>
      <c r="R9" s="14"/>
      <c r="S9" s="67">
        <v>3</v>
      </c>
      <c r="T9" s="66">
        <v>3</v>
      </c>
      <c r="U9" s="18">
        <v>4</v>
      </c>
      <c r="V9" s="18"/>
    </row>
    <row r="10" spans="1:26" ht="15" x14ac:dyDescent="0.4">
      <c r="A10" s="27">
        <v>30060382</v>
      </c>
      <c r="B10" s="29" t="s">
        <v>33</v>
      </c>
      <c r="C10" s="25" t="s">
        <v>34</v>
      </c>
      <c r="D10" s="25" t="s">
        <v>30</v>
      </c>
      <c r="E10" s="26">
        <v>6</v>
      </c>
      <c r="F10" s="47">
        <v>2</v>
      </c>
      <c r="G10" s="21">
        <v>2</v>
      </c>
      <c r="H10" s="25" t="s">
        <v>90</v>
      </c>
      <c r="I10" s="16" t="s">
        <v>70</v>
      </c>
      <c r="J10" s="10" t="s">
        <v>70</v>
      </c>
      <c r="K10" s="10" t="s">
        <v>70</v>
      </c>
      <c r="L10" s="10" t="s">
        <v>70</v>
      </c>
      <c r="M10" s="10" t="s">
        <v>70</v>
      </c>
      <c r="N10" s="10" t="s">
        <v>70</v>
      </c>
      <c r="O10" s="15">
        <f t="shared" si="0"/>
        <v>0</v>
      </c>
      <c r="P10" s="15" t="s">
        <v>77</v>
      </c>
      <c r="Q10" s="15" t="s">
        <v>75</v>
      </c>
      <c r="R10" s="4"/>
      <c r="S10" s="67">
        <v>3</v>
      </c>
      <c r="T10" s="68">
        <v>4</v>
      </c>
      <c r="U10" s="18">
        <v>4</v>
      </c>
      <c r="V10" s="18"/>
    </row>
    <row r="11" spans="1:26" ht="15" x14ac:dyDescent="0.4">
      <c r="A11" s="27">
        <v>30031016</v>
      </c>
      <c r="B11" s="29" t="s">
        <v>35</v>
      </c>
      <c r="C11" s="25" t="s">
        <v>36</v>
      </c>
      <c r="D11" s="25" t="s">
        <v>30</v>
      </c>
      <c r="E11" s="26">
        <v>6</v>
      </c>
      <c r="F11" s="47">
        <v>2</v>
      </c>
      <c r="G11" s="21">
        <v>2</v>
      </c>
      <c r="H11" s="25" t="s">
        <v>90</v>
      </c>
      <c r="I11" s="16" t="s">
        <v>70</v>
      </c>
      <c r="J11" s="10" t="s">
        <v>70</v>
      </c>
      <c r="K11" s="10" t="s">
        <v>70</v>
      </c>
      <c r="L11" s="10" t="s">
        <v>70</v>
      </c>
      <c r="M11" s="10" t="s">
        <v>70</v>
      </c>
      <c r="N11" s="10" t="s">
        <v>70</v>
      </c>
      <c r="O11" s="15">
        <f t="shared" si="0"/>
        <v>0</v>
      </c>
      <c r="P11" s="15" t="s">
        <v>77</v>
      </c>
      <c r="Q11" s="15" t="s">
        <v>75</v>
      </c>
      <c r="R11" s="4"/>
      <c r="S11" s="67">
        <v>4</v>
      </c>
      <c r="T11" s="66">
        <v>4</v>
      </c>
      <c r="U11" s="18">
        <v>4</v>
      </c>
      <c r="V11" s="18"/>
    </row>
    <row r="12" spans="1:26" ht="15" x14ac:dyDescent="0.4">
      <c r="A12" s="27">
        <v>30029944</v>
      </c>
      <c r="B12" s="29" t="s">
        <v>37</v>
      </c>
      <c r="C12" s="29" t="s">
        <v>38</v>
      </c>
      <c r="D12" s="25" t="s">
        <v>30</v>
      </c>
      <c r="E12" s="26">
        <v>6</v>
      </c>
      <c r="F12" s="47">
        <v>2</v>
      </c>
      <c r="G12" s="21">
        <v>3</v>
      </c>
      <c r="H12" s="25" t="s">
        <v>91</v>
      </c>
      <c r="I12" s="16" t="s">
        <v>70</v>
      </c>
      <c r="J12" s="9" t="s">
        <v>70</v>
      </c>
      <c r="K12" s="9" t="s">
        <v>70</v>
      </c>
      <c r="L12" s="9" t="s">
        <v>70</v>
      </c>
      <c r="M12" s="9" t="s">
        <v>70</v>
      </c>
      <c r="N12" s="9" t="s">
        <v>70</v>
      </c>
      <c r="O12" s="15">
        <f t="shared" si="0"/>
        <v>0</v>
      </c>
      <c r="P12" s="15" t="s">
        <v>77</v>
      </c>
      <c r="Q12" s="15" t="s">
        <v>75</v>
      </c>
      <c r="R12" s="4" t="s">
        <v>109</v>
      </c>
      <c r="S12" s="67">
        <v>4</v>
      </c>
      <c r="T12" s="66">
        <v>3</v>
      </c>
      <c r="U12" s="18">
        <v>4</v>
      </c>
      <c r="V12" s="18"/>
    </row>
    <row r="13" spans="1:26" ht="15" x14ac:dyDescent="0.4">
      <c r="A13" s="27">
        <v>30030554</v>
      </c>
      <c r="B13" s="29" t="s">
        <v>39</v>
      </c>
      <c r="C13" s="25" t="s">
        <v>40</v>
      </c>
      <c r="D13" s="25" t="s">
        <v>30</v>
      </c>
      <c r="E13" s="26">
        <v>6</v>
      </c>
      <c r="F13" s="47">
        <v>2</v>
      </c>
      <c r="G13" s="21">
        <v>3</v>
      </c>
      <c r="H13" s="25" t="s">
        <v>91</v>
      </c>
      <c r="I13" s="16" t="s">
        <v>70</v>
      </c>
      <c r="J13" s="9" t="s">
        <v>70</v>
      </c>
      <c r="K13" s="9" t="s">
        <v>70</v>
      </c>
      <c r="L13" s="9" t="s">
        <v>70</v>
      </c>
      <c r="M13" s="9" t="s">
        <v>70</v>
      </c>
      <c r="N13" s="9" t="s">
        <v>70</v>
      </c>
      <c r="O13" s="15">
        <f t="shared" si="0"/>
        <v>0</v>
      </c>
      <c r="P13" s="15" t="s">
        <v>77</v>
      </c>
      <c r="Q13" s="15" t="s">
        <v>75</v>
      </c>
      <c r="R13" s="4" t="s">
        <v>109</v>
      </c>
      <c r="S13" s="67">
        <v>4</v>
      </c>
      <c r="T13" s="66">
        <v>3</v>
      </c>
      <c r="U13" s="18">
        <v>4</v>
      </c>
      <c r="V13" s="18"/>
    </row>
    <row r="14" spans="1:26" ht="15" x14ac:dyDescent="0.4">
      <c r="A14" s="39">
        <v>46333510</v>
      </c>
      <c r="B14" s="40" t="s">
        <v>41</v>
      </c>
      <c r="C14" s="40" t="s">
        <v>42</v>
      </c>
      <c r="D14" s="40" t="s">
        <v>16</v>
      </c>
      <c r="E14" s="41">
        <v>5</v>
      </c>
      <c r="F14" s="48">
        <v>2</v>
      </c>
      <c r="G14" s="21">
        <v>4</v>
      </c>
      <c r="H14" s="40" t="s">
        <v>92</v>
      </c>
      <c r="I14" s="16" t="s">
        <v>70</v>
      </c>
      <c r="J14" s="10" t="s">
        <v>70</v>
      </c>
      <c r="K14" s="10" t="s">
        <v>70</v>
      </c>
      <c r="L14" s="13" t="s">
        <v>69</v>
      </c>
      <c r="M14" s="10" t="s">
        <v>70</v>
      </c>
      <c r="N14" s="10" t="s">
        <v>70</v>
      </c>
      <c r="O14" s="15">
        <f t="shared" si="0"/>
        <v>0</v>
      </c>
      <c r="P14" s="15" t="s">
        <v>77</v>
      </c>
      <c r="Q14" s="15" t="s">
        <v>82</v>
      </c>
      <c r="R14" s="15" t="s">
        <v>110</v>
      </c>
      <c r="S14" s="67">
        <v>3</v>
      </c>
      <c r="T14" s="66">
        <v>3</v>
      </c>
      <c r="U14" s="18">
        <v>4</v>
      </c>
      <c r="V14" s="18"/>
    </row>
    <row r="15" spans="1:26" ht="15" x14ac:dyDescent="0.4">
      <c r="A15" s="39">
        <v>30020802</v>
      </c>
      <c r="B15" s="42" t="s">
        <v>43</v>
      </c>
      <c r="C15" s="43" t="s">
        <v>44</v>
      </c>
      <c r="D15" s="40" t="s">
        <v>21</v>
      </c>
      <c r="E15" s="41">
        <v>5</v>
      </c>
      <c r="F15" s="48">
        <v>2</v>
      </c>
      <c r="G15" s="21">
        <v>4</v>
      </c>
      <c r="H15" s="40" t="s">
        <v>92</v>
      </c>
      <c r="I15" s="16" t="s">
        <v>70</v>
      </c>
      <c r="J15" s="10" t="s">
        <v>70</v>
      </c>
      <c r="K15" s="10" t="s">
        <v>70</v>
      </c>
      <c r="L15" s="10" t="s">
        <v>70</v>
      </c>
      <c r="M15" s="10" t="s">
        <v>70</v>
      </c>
      <c r="N15" s="10" t="s">
        <v>70</v>
      </c>
      <c r="O15" s="15">
        <f t="shared" si="0"/>
        <v>0</v>
      </c>
      <c r="P15" s="15" t="s">
        <v>77</v>
      </c>
      <c r="Q15" s="15" t="s">
        <v>78</v>
      </c>
      <c r="R15" s="15" t="s">
        <v>110</v>
      </c>
      <c r="S15" s="67">
        <v>3</v>
      </c>
      <c r="T15" s="66">
        <v>3</v>
      </c>
      <c r="U15" s="18">
        <v>3</v>
      </c>
      <c r="V15" s="18"/>
    </row>
    <row r="16" spans="1:26" ht="15" x14ac:dyDescent="0.4">
      <c r="A16" s="39">
        <v>46221793</v>
      </c>
      <c r="B16" s="43" t="s">
        <v>45</v>
      </c>
      <c r="C16" s="43" t="s">
        <v>46</v>
      </c>
      <c r="D16" s="40" t="s">
        <v>30</v>
      </c>
      <c r="E16" s="41">
        <v>5</v>
      </c>
      <c r="F16" s="48">
        <v>2</v>
      </c>
      <c r="G16" s="6">
        <v>5</v>
      </c>
      <c r="H16" s="40" t="s">
        <v>93</v>
      </c>
      <c r="I16" s="16" t="s">
        <v>70</v>
      </c>
      <c r="J16" s="10" t="s">
        <v>70</v>
      </c>
      <c r="K16" s="10" t="s">
        <v>70</v>
      </c>
      <c r="L16" s="10" t="s">
        <v>70</v>
      </c>
      <c r="M16" s="61" t="s">
        <v>70</v>
      </c>
      <c r="N16" s="10" t="s">
        <v>70</v>
      </c>
      <c r="O16" s="15">
        <f t="shared" si="0"/>
        <v>0</v>
      </c>
      <c r="P16" s="15" t="s">
        <v>82</v>
      </c>
      <c r="Q16" s="15" t="s">
        <v>79</v>
      </c>
      <c r="R16" s="4"/>
      <c r="S16" s="69">
        <v>4</v>
      </c>
      <c r="T16" s="70">
        <v>4</v>
      </c>
      <c r="U16" s="71">
        <v>4</v>
      </c>
      <c r="V16" s="18"/>
    </row>
    <row r="17" spans="1:22" ht="15" x14ac:dyDescent="0.4">
      <c r="A17" s="39">
        <v>30059632</v>
      </c>
      <c r="B17" s="43" t="s">
        <v>47</v>
      </c>
      <c r="C17" s="43" t="s">
        <v>48</v>
      </c>
      <c r="D17" s="40" t="s">
        <v>30</v>
      </c>
      <c r="E17" s="41">
        <v>5</v>
      </c>
      <c r="F17" s="48">
        <v>2</v>
      </c>
      <c r="G17" s="6">
        <v>5</v>
      </c>
      <c r="H17" s="40" t="s">
        <v>93</v>
      </c>
      <c r="I17" s="16" t="s">
        <v>70</v>
      </c>
      <c r="J17" s="10" t="s">
        <v>70</v>
      </c>
      <c r="K17" s="10" t="s">
        <v>70</v>
      </c>
      <c r="L17" s="10" t="s">
        <v>70</v>
      </c>
      <c r="M17" s="10" t="s">
        <v>70</v>
      </c>
      <c r="N17" s="10" t="s">
        <v>70</v>
      </c>
      <c r="O17" s="15">
        <f t="shared" si="0"/>
        <v>0</v>
      </c>
      <c r="P17" s="15" t="s">
        <v>82</v>
      </c>
      <c r="Q17" s="15" t="s">
        <v>79</v>
      </c>
      <c r="R17" s="4"/>
      <c r="S17" s="67">
        <v>4</v>
      </c>
      <c r="T17" s="66">
        <v>3</v>
      </c>
      <c r="U17" s="18">
        <v>3</v>
      </c>
      <c r="V17" s="18"/>
    </row>
    <row r="18" spans="1:22" ht="15" x14ac:dyDescent="0.4">
      <c r="A18" s="39">
        <v>46125671</v>
      </c>
      <c r="B18" s="40" t="s">
        <v>49</v>
      </c>
      <c r="C18" s="43" t="s">
        <v>50</v>
      </c>
      <c r="D18" s="40" t="s">
        <v>30</v>
      </c>
      <c r="E18" s="41">
        <v>5</v>
      </c>
      <c r="F18" s="48">
        <v>2</v>
      </c>
      <c r="G18" s="6">
        <v>5</v>
      </c>
      <c r="H18" s="40" t="s">
        <v>93</v>
      </c>
      <c r="I18" s="16" t="s">
        <v>70</v>
      </c>
      <c r="J18" s="10" t="s">
        <v>70</v>
      </c>
      <c r="K18" s="10" t="s">
        <v>70</v>
      </c>
      <c r="L18" s="10" t="s">
        <v>70</v>
      </c>
      <c r="M18" s="10" t="s">
        <v>70</v>
      </c>
      <c r="N18" s="10" t="s">
        <v>70</v>
      </c>
      <c r="O18" s="15">
        <f t="shared" si="0"/>
        <v>0</v>
      </c>
      <c r="P18" s="15" t="s">
        <v>82</v>
      </c>
      <c r="Q18" s="15" t="s">
        <v>79</v>
      </c>
      <c r="R18" s="4"/>
      <c r="S18" s="67">
        <v>4</v>
      </c>
      <c r="T18" s="66">
        <v>4</v>
      </c>
      <c r="U18" s="18">
        <v>4</v>
      </c>
      <c r="V18" s="18"/>
    </row>
    <row r="19" spans="1:22" ht="15" x14ac:dyDescent="0.4">
      <c r="A19" s="39">
        <v>46335888</v>
      </c>
      <c r="B19" s="43" t="s">
        <v>51</v>
      </c>
      <c r="C19" s="43" t="s">
        <v>52</v>
      </c>
      <c r="D19" s="40" t="s">
        <v>16</v>
      </c>
      <c r="E19" s="41">
        <v>5</v>
      </c>
      <c r="F19" s="48">
        <v>2</v>
      </c>
      <c r="G19" s="6">
        <v>4</v>
      </c>
      <c r="H19" s="40" t="s">
        <v>92</v>
      </c>
      <c r="I19" s="16" t="s">
        <v>70</v>
      </c>
      <c r="J19" s="10" t="s">
        <v>70</v>
      </c>
      <c r="K19" s="10" t="s">
        <v>70</v>
      </c>
      <c r="L19" s="10" t="s">
        <v>70</v>
      </c>
      <c r="M19" s="10" t="s">
        <v>70</v>
      </c>
      <c r="N19" s="10" t="s">
        <v>70</v>
      </c>
      <c r="O19" s="15">
        <f t="shared" si="0"/>
        <v>0</v>
      </c>
      <c r="P19" s="15" t="s">
        <v>77</v>
      </c>
      <c r="Q19" s="15" t="s">
        <v>78</v>
      </c>
      <c r="R19" s="15" t="s">
        <v>110</v>
      </c>
      <c r="S19" s="67">
        <v>3</v>
      </c>
      <c r="T19" s="66">
        <v>3</v>
      </c>
      <c r="U19" s="18">
        <v>3</v>
      </c>
      <c r="V19" s="18"/>
    </row>
    <row r="20" spans="1:22" ht="15" x14ac:dyDescent="0.4">
      <c r="A20" s="39">
        <v>46364217</v>
      </c>
      <c r="B20" s="44" t="s">
        <v>53</v>
      </c>
      <c r="C20" s="43" t="s">
        <v>54</v>
      </c>
      <c r="D20" s="40" t="s">
        <v>21</v>
      </c>
      <c r="E20" s="41">
        <v>5</v>
      </c>
      <c r="F20" s="48">
        <v>2</v>
      </c>
      <c r="G20" s="6">
        <v>4</v>
      </c>
      <c r="H20" s="40" t="s">
        <v>92</v>
      </c>
      <c r="I20" s="16" t="s">
        <v>70</v>
      </c>
      <c r="J20" s="10" t="s">
        <v>70</v>
      </c>
      <c r="K20" s="61" t="s">
        <v>70</v>
      </c>
      <c r="L20" s="10" t="s">
        <v>70</v>
      </c>
      <c r="M20" s="61" t="s">
        <v>70</v>
      </c>
      <c r="N20" s="10" t="s">
        <v>70</v>
      </c>
      <c r="O20" s="15">
        <f t="shared" si="0"/>
        <v>0</v>
      </c>
      <c r="P20" s="15" t="s">
        <v>77</v>
      </c>
      <c r="Q20" s="15" t="s">
        <v>78</v>
      </c>
      <c r="R20" s="15" t="s">
        <v>110</v>
      </c>
      <c r="S20" s="67">
        <v>3</v>
      </c>
      <c r="T20" s="66">
        <v>2</v>
      </c>
      <c r="U20" s="18">
        <v>3</v>
      </c>
      <c r="V20" s="18"/>
    </row>
    <row r="21" spans="1:22" x14ac:dyDescent="0.35">
      <c r="A21" s="30">
        <v>46335317</v>
      </c>
      <c r="B21" s="31" t="s">
        <v>55</v>
      </c>
      <c r="C21" s="31" t="s">
        <v>56</v>
      </c>
      <c r="D21" s="31" t="s">
        <v>16</v>
      </c>
      <c r="E21" s="32">
        <v>4</v>
      </c>
      <c r="F21" s="48">
        <v>2</v>
      </c>
      <c r="G21" s="6">
        <v>6</v>
      </c>
      <c r="H21" s="31" t="s">
        <v>94</v>
      </c>
      <c r="I21" s="16" t="s">
        <v>70</v>
      </c>
      <c r="J21" s="10" t="s">
        <v>70</v>
      </c>
      <c r="K21" s="10" t="s">
        <v>70</v>
      </c>
      <c r="L21" s="10" t="s">
        <v>70</v>
      </c>
      <c r="M21" s="10" t="s">
        <v>70</v>
      </c>
      <c r="N21" s="10" t="s">
        <v>70</v>
      </c>
      <c r="O21" s="15">
        <f t="shared" si="0"/>
        <v>0</v>
      </c>
      <c r="P21" s="15" t="s">
        <v>80</v>
      </c>
      <c r="Q21" s="15" t="s">
        <v>81</v>
      </c>
      <c r="R21" s="4"/>
      <c r="S21" s="67">
        <v>3</v>
      </c>
      <c r="T21" s="66">
        <v>3</v>
      </c>
      <c r="U21" s="18">
        <v>3</v>
      </c>
      <c r="V21" s="18"/>
    </row>
    <row r="22" spans="1:22" x14ac:dyDescent="0.35">
      <c r="A22" s="30">
        <v>46335327</v>
      </c>
      <c r="B22" s="31" t="s">
        <v>57</v>
      </c>
      <c r="C22" s="31" t="s">
        <v>58</v>
      </c>
      <c r="D22" s="31" t="s">
        <v>16</v>
      </c>
      <c r="E22" s="32">
        <v>4</v>
      </c>
      <c r="F22" s="48">
        <v>2</v>
      </c>
      <c r="G22" s="6">
        <v>6</v>
      </c>
      <c r="H22" s="31" t="s">
        <v>94</v>
      </c>
      <c r="I22" s="16" t="s">
        <v>70</v>
      </c>
      <c r="J22" s="10" t="s">
        <v>70</v>
      </c>
      <c r="K22" s="10" t="s">
        <v>70</v>
      </c>
      <c r="L22" s="10" t="s">
        <v>70</v>
      </c>
      <c r="M22" s="10" t="s">
        <v>70</v>
      </c>
      <c r="N22" s="10" t="s">
        <v>70</v>
      </c>
      <c r="O22" s="15">
        <f t="shared" si="0"/>
        <v>0</v>
      </c>
      <c r="P22" s="15" t="s">
        <v>80</v>
      </c>
      <c r="Q22" s="15" t="s">
        <v>81</v>
      </c>
      <c r="R22" s="4"/>
      <c r="S22" s="67">
        <v>3</v>
      </c>
      <c r="T22" s="66">
        <v>4</v>
      </c>
      <c r="U22" s="18">
        <v>3</v>
      </c>
      <c r="V22" s="18"/>
    </row>
    <row r="23" spans="1:22" x14ac:dyDescent="0.35">
      <c r="A23" s="33">
        <v>30020740</v>
      </c>
      <c r="B23" s="34" t="s">
        <v>59</v>
      </c>
      <c r="C23" s="31" t="s">
        <v>60</v>
      </c>
      <c r="D23" s="31" t="s">
        <v>21</v>
      </c>
      <c r="E23" s="32">
        <v>4</v>
      </c>
      <c r="F23" s="48">
        <v>2</v>
      </c>
      <c r="G23" s="6">
        <v>6</v>
      </c>
      <c r="H23" s="31" t="s">
        <v>94</v>
      </c>
      <c r="I23" s="16" t="s">
        <v>70</v>
      </c>
      <c r="J23" s="10" t="s">
        <v>70</v>
      </c>
      <c r="K23" s="10" t="s">
        <v>70</v>
      </c>
      <c r="L23" s="10" t="s">
        <v>70</v>
      </c>
      <c r="M23" s="10" t="s">
        <v>70</v>
      </c>
      <c r="N23" s="10" t="s">
        <v>70</v>
      </c>
      <c r="O23" s="15">
        <f t="shared" si="0"/>
        <v>0</v>
      </c>
      <c r="P23" s="15" t="s">
        <v>80</v>
      </c>
      <c r="Q23" s="15" t="s">
        <v>81</v>
      </c>
      <c r="R23" s="4"/>
      <c r="S23" s="67">
        <v>4</v>
      </c>
      <c r="T23" s="66">
        <v>4</v>
      </c>
      <c r="U23" s="18">
        <v>4</v>
      </c>
      <c r="V23" s="18"/>
    </row>
    <row r="24" spans="1:22" x14ac:dyDescent="0.35">
      <c r="A24" s="33">
        <v>30020792</v>
      </c>
      <c r="B24" s="34" t="s">
        <v>61</v>
      </c>
      <c r="C24" s="31" t="s">
        <v>62</v>
      </c>
      <c r="D24" s="31" t="s">
        <v>21</v>
      </c>
      <c r="E24" s="32">
        <v>4</v>
      </c>
      <c r="F24" s="48">
        <v>2</v>
      </c>
      <c r="G24" s="6">
        <v>6</v>
      </c>
      <c r="H24" s="31" t="s">
        <v>94</v>
      </c>
      <c r="I24" s="16" t="s">
        <v>70</v>
      </c>
      <c r="J24" s="10" t="s">
        <v>70</v>
      </c>
      <c r="K24" s="9" t="s">
        <v>70</v>
      </c>
      <c r="L24" s="10" t="s">
        <v>70</v>
      </c>
      <c r="M24" s="9" t="s">
        <v>70</v>
      </c>
      <c r="N24" s="9" t="s">
        <v>70</v>
      </c>
      <c r="O24" s="15">
        <f t="shared" si="0"/>
        <v>0</v>
      </c>
      <c r="P24" s="15" t="s">
        <v>80</v>
      </c>
      <c r="Q24" s="15" t="s">
        <v>81</v>
      </c>
      <c r="R24" s="4"/>
      <c r="S24" s="67">
        <v>4</v>
      </c>
      <c r="T24" s="66">
        <v>3</v>
      </c>
      <c r="U24" s="18">
        <v>3</v>
      </c>
      <c r="V24" s="18"/>
    </row>
    <row r="25" spans="1:22" x14ac:dyDescent="0.35">
      <c r="A25" s="36">
        <v>46313858</v>
      </c>
      <c r="B25" s="37" t="s">
        <v>63</v>
      </c>
      <c r="C25" s="35" t="s">
        <v>64</v>
      </c>
      <c r="D25" s="35" t="s">
        <v>30</v>
      </c>
      <c r="E25" s="38">
        <v>3</v>
      </c>
      <c r="F25" s="48">
        <v>2</v>
      </c>
      <c r="G25" s="6">
        <v>7</v>
      </c>
      <c r="H25" s="35"/>
      <c r="I25" s="57" t="s">
        <v>69</v>
      </c>
      <c r="J25" s="13" t="s">
        <v>69</v>
      </c>
      <c r="K25" s="13" t="s">
        <v>69</v>
      </c>
      <c r="L25" s="13" t="s">
        <v>69</v>
      </c>
      <c r="M25" s="13" t="s">
        <v>69</v>
      </c>
      <c r="N25" s="14" t="s">
        <v>69</v>
      </c>
      <c r="O25" s="15">
        <f t="shared" si="0"/>
        <v>0</v>
      </c>
      <c r="P25" s="60" t="s">
        <v>82</v>
      </c>
      <c r="Q25" s="15"/>
      <c r="R25" s="6"/>
      <c r="S25" s="59" t="s">
        <v>115</v>
      </c>
      <c r="T25" s="66"/>
      <c r="U25" s="18"/>
      <c r="V25" s="18"/>
    </row>
    <row r="26" spans="1:22" x14ac:dyDescent="0.35">
      <c r="I26" s="58">
        <f>COUNTIF(I2:I25, "P")</f>
        <v>21</v>
      </c>
      <c r="J26" s="58">
        <f t="shared" ref="J26:N26" si="1">COUNTIF(J2:J25, "P")</f>
        <v>20</v>
      </c>
      <c r="K26" s="58">
        <f t="shared" si="1"/>
        <v>21</v>
      </c>
      <c r="L26" s="58">
        <f t="shared" si="1"/>
        <v>20</v>
      </c>
      <c r="M26" s="58">
        <f t="shared" si="1"/>
        <v>21</v>
      </c>
      <c r="N26" s="58">
        <f t="shared" si="1"/>
        <v>21</v>
      </c>
    </row>
    <row r="27" spans="1:22" x14ac:dyDescent="0.35">
      <c r="I27" s="5"/>
      <c r="J27" s="5"/>
      <c r="K27" s="5"/>
      <c r="L27" s="5"/>
      <c r="M27" s="5"/>
    </row>
    <row r="28" spans="1:22" x14ac:dyDescent="0.35">
      <c r="A28" s="72" t="s">
        <v>106</v>
      </c>
      <c r="B28" s="6" t="s">
        <v>101</v>
      </c>
      <c r="C28" s="6" t="s">
        <v>95</v>
      </c>
      <c r="D28" s="6" t="s">
        <v>105</v>
      </c>
      <c r="E28" s="6"/>
      <c r="F28" s="6"/>
      <c r="G28" s="6">
        <v>3</v>
      </c>
      <c r="H28" s="6" t="s">
        <v>107</v>
      </c>
      <c r="I28" s="6"/>
      <c r="J28" s="6"/>
      <c r="K28" s="6"/>
      <c r="L28" s="6"/>
      <c r="M28" s="6"/>
      <c r="N28" s="6" t="s">
        <v>70</v>
      </c>
      <c r="O28" s="6"/>
      <c r="P28" s="6"/>
      <c r="Q28" s="6"/>
      <c r="R28" s="6"/>
      <c r="S28" s="6">
        <v>3</v>
      </c>
      <c r="T28" s="6">
        <v>3</v>
      </c>
      <c r="U28" s="6">
        <v>3</v>
      </c>
      <c r="V28" s="6" t="s">
        <v>116</v>
      </c>
    </row>
    <row r="29" spans="1:22" x14ac:dyDescent="0.35">
      <c r="A29" s="72"/>
      <c r="B29" s="6" t="s">
        <v>102</v>
      </c>
      <c r="C29" s="6" t="s">
        <v>96</v>
      </c>
      <c r="D29" s="6" t="s">
        <v>105</v>
      </c>
      <c r="E29" s="6"/>
      <c r="F29" s="6"/>
      <c r="G29" s="6">
        <v>3</v>
      </c>
      <c r="H29" s="6" t="s">
        <v>107</v>
      </c>
      <c r="I29" s="6"/>
      <c r="J29" s="6"/>
      <c r="K29" s="6"/>
      <c r="L29" s="6"/>
      <c r="M29" s="6"/>
      <c r="N29" s="6" t="s">
        <v>69</v>
      </c>
      <c r="O29" s="6"/>
      <c r="P29" s="6"/>
      <c r="Q29" s="6"/>
      <c r="R29" s="6"/>
      <c r="S29" s="6">
        <v>3</v>
      </c>
      <c r="T29" s="6">
        <v>3</v>
      </c>
      <c r="U29" s="6">
        <v>4</v>
      </c>
      <c r="V29" s="6" t="s">
        <v>117</v>
      </c>
    </row>
    <row r="30" spans="1:22" x14ac:dyDescent="0.35">
      <c r="A30" s="72"/>
      <c r="B30" s="6" t="s">
        <v>97</v>
      </c>
      <c r="C30" s="6" t="s">
        <v>98</v>
      </c>
      <c r="D30" s="6" t="s">
        <v>105</v>
      </c>
      <c r="E30" s="6"/>
      <c r="F30" s="6"/>
      <c r="G30" s="6">
        <v>3</v>
      </c>
      <c r="H30" s="6" t="s">
        <v>107</v>
      </c>
      <c r="I30" s="6"/>
      <c r="J30" s="6"/>
      <c r="K30" s="6"/>
      <c r="L30" s="6"/>
      <c r="M30" s="6"/>
      <c r="N30" s="6" t="s">
        <v>70</v>
      </c>
      <c r="O30" s="6"/>
      <c r="P30" s="6"/>
      <c r="Q30" s="6"/>
      <c r="R30" s="6"/>
      <c r="S30" s="6">
        <v>4</v>
      </c>
      <c r="T30" s="6">
        <v>3</v>
      </c>
      <c r="U30" s="6">
        <v>4</v>
      </c>
      <c r="V30" s="6" t="s">
        <v>118</v>
      </c>
    </row>
    <row r="31" spans="1:22" x14ac:dyDescent="0.35">
      <c r="A31" s="72"/>
      <c r="B31" s="6" t="s">
        <v>103</v>
      </c>
      <c r="C31" s="6" t="s">
        <v>99</v>
      </c>
      <c r="D31" s="6" t="s">
        <v>105</v>
      </c>
      <c r="E31" s="6"/>
      <c r="F31" s="6"/>
      <c r="G31" s="6">
        <v>3</v>
      </c>
      <c r="H31" s="6" t="s">
        <v>107</v>
      </c>
      <c r="I31" s="6"/>
      <c r="J31" s="6"/>
      <c r="K31" s="6"/>
      <c r="L31" s="6"/>
      <c r="M31" s="6"/>
      <c r="N31" s="6" t="s">
        <v>70</v>
      </c>
      <c r="O31" s="6"/>
      <c r="P31" s="6"/>
      <c r="Q31" s="6"/>
      <c r="R31" s="6"/>
      <c r="S31" s="6">
        <v>4</v>
      </c>
      <c r="T31" s="6">
        <v>4</v>
      </c>
      <c r="U31" s="6">
        <v>4</v>
      </c>
      <c r="V31" s="6" t="s">
        <v>119</v>
      </c>
    </row>
    <row r="32" spans="1:22" x14ac:dyDescent="0.35">
      <c r="A32" s="72"/>
      <c r="B32" s="6" t="s">
        <v>104</v>
      </c>
      <c r="C32" s="6" t="s">
        <v>100</v>
      </c>
      <c r="D32" s="6" t="s">
        <v>105</v>
      </c>
      <c r="E32" s="6"/>
      <c r="F32" s="6"/>
      <c r="G32" s="6">
        <v>3</v>
      </c>
      <c r="H32" s="6" t="s">
        <v>107</v>
      </c>
      <c r="I32" s="6"/>
      <c r="J32" s="6"/>
      <c r="K32" s="6"/>
      <c r="L32" s="6"/>
      <c r="M32" s="6"/>
      <c r="N32" s="6" t="s">
        <v>70</v>
      </c>
      <c r="O32" s="6"/>
      <c r="P32" s="6"/>
      <c r="Q32" s="6"/>
      <c r="R32" s="6"/>
      <c r="S32" s="6">
        <v>4</v>
      </c>
      <c r="T32" s="6">
        <v>3</v>
      </c>
      <c r="U32" s="6">
        <v>3</v>
      </c>
      <c r="V32" s="6" t="s">
        <v>120</v>
      </c>
    </row>
    <row r="36" spans="8:19" ht="21" x14ac:dyDescent="0.5">
      <c r="S36" s="46" t="s">
        <v>65</v>
      </c>
    </row>
    <row r="37" spans="8:19" x14ac:dyDescent="0.35">
      <c r="S37" s="11" t="s">
        <v>67</v>
      </c>
    </row>
    <row r="38" spans="8:19" x14ac:dyDescent="0.35">
      <c r="H38">
        <v>1</v>
      </c>
      <c r="I38" s="64">
        <v>0.39583333333333331</v>
      </c>
      <c r="S38" s="11" t="s">
        <v>66</v>
      </c>
    </row>
    <row r="39" spans="8:19" x14ac:dyDescent="0.35">
      <c r="H39">
        <v>2</v>
      </c>
      <c r="I39" s="64">
        <v>0.41666666666666669</v>
      </c>
    </row>
    <row r="40" spans="8:19" x14ac:dyDescent="0.35">
      <c r="H40">
        <v>3</v>
      </c>
      <c r="I40" s="64">
        <v>0.4375</v>
      </c>
    </row>
    <row r="41" spans="8:19" x14ac:dyDescent="0.35">
      <c r="H41">
        <v>4</v>
      </c>
      <c r="I41" s="64">
        <v>0.47916666666666669</v>
      </c>
    </row>
    <row r="42" spans="8:19" x14ac:dyDescent="0.35">
      <c r="H42">
        <v>5</v>
      </c>
      <c r="I42" s="64">
        <v>0.5</v>
      </c>
    </row>
    <row r="43" spans="8:19" x14ac:dyDescent="0.35">
      <c r="H43">
        <v>6</v>
      </c>
      <c r="I43" s="64">
        <v>0.52083333333333337</v>
      </c>
    </row>
    <row r="44" spans="8:19" x14ac:dyDescent="0.35">
      <c r="H44">
        <v>7</v>
      </c>
      <c r="I44" s="64">
        <v>0.10416666666666667</v>
      </c>
    </row>
  </sheetData>
  <autoFilter ref="B1:G26" xr:uid="{00000000-0001-0000-0000-000000000000}"/>
  <mergeCells count="1">
    <mergeCell ref="A28:A32"/>
  </mergeCells>
  <conditionalFormatting sqref="C5">
    <cfRule type="duplicateValues" dxfId="7" priority="3"/>
    <cfRule type="duplicateValues" dxfId="6" priority="4"/>
  </conditionalFormatting>
  <conditionalFormatting sqref="C15:C20">
    <cfRule type="duplicateValues" dxfId="5" priority="1"/>
    <cfRule type="duplicateValues" dxfId="4" priority="2"/>
  </conditionalFormatting>
  <hyperlinks>
    <hyperlink ref="C19" r:id="rId1" xr:uid="{798E52C1-3F8F-452A-A72D-6492E4A4820E}"/>
    <hyperlink ref="C18" r:id="rId2" xr:uid="{75866417-79C5-4BBF-AC68-B0A393DCC56E}"/>
    <hyperlink ref="C22" r:id="rId3" xr:uid="{F3952958-5957-4A25-9712-CED4FBC6602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C9A4-D821-448A-A4CA-A88FA9AFC88A}">
  <dimension ref="A1:H25"/>
  <sheetViews>
    <sheetView tabSelected="1" workbookViewId="0">
      <selection activeCell="C15" sqref="C15"/>
    </sheetView>
  </sheetViews>
  <sheetFormatPr defaultRowHeight="14.5" x14ac:dyDescent="0.35"/>
  <cols>
    <col min="1" max="1" width="7.36328125" bestFit="1" customWidth="1"/>
    <col min="2" max="2" width="28.36328125" bestFit="1" customWidth="1"/>
    <col min="3" max="3" width="39.26953125" bestFit="1" customWidth="1"/>
    <col min="4" max="4" width="9.54296875" bestFit="1" customWidth="1"/>
    <col min="5" max="5" width="5" bestFit="1" customWidth="1"/>
    <col min="6" max="6" width="5.453125" bestFit="1" customWidth="1"/>
    <col min="7" max="7" width="4.81640625" bestFit="1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8" ht="15" x14ac:dyDescent="0.4">
      <c r="A2" s="22">
        <v>30019696</v>
      </c>
      <c r="B2" s="49" t="s">
        <v>14</v>
      </c>
      <c r="C2" s="50" t="s">
        <v>15</v>
      </c>
      <c r="D2" s="51" t="s">
        <v>16</v>
      </c>
      <c r="E2" s="52">
        <v>6</v>
      </c>
      <c r="F2" s="53">
        <v>2</v>
      </c>
      <c r="G2" s="54">
        <v>1</v>
      </c>
    </row>
    <row r="3" spans="1:8" ht="15" x14ac:dyDescent="0.4">
      <c r="A3" s="22">
        <v>46335890</v>
      </c>
      <c r="B3" s="23" t="s">
        <v>17</v>
      </c>
      <c r="C3" s="24" t="s">
        <v>18</v>
      </c>
      <c r="D3" s="25" t="s">
        <v>16</v>
      </c>
      <c r="E3" s="26">
        <v>6</v>
      </c>
      <c r="F3" s="47">
        <v>2</v>
      </c>
      <c r="G3" s="21">
        <v>1</v>
      </c>
      <c r="H3" s="25" t="s">
        <v>83</v>
      </c>
    </row>
    <row r="4" spans="1:8" ht="15" x14ac:dyDescent="0.4">
      <c r="A4" s="27">
        <v>30020786</v>
      </c>
      <c r="B4" s="28" t="s">
        <v>19</v>
      </c>
      <c r="C4" s="25" t="s">
        <v>20</v>
      </c>
      <c r="D4" s="25" t="s">
        <v>21</v>
      </c>
      <c r="E4" s="26">
        <v>6</v>
      </c>
      <c r="F4" s="47">
        <v>2</v>
      </c>
      <c r="G4" s="21">
        <v>3</v>
      </c>
      <c r="H4" s="25" t="s">
        <v>85</v>
      </c>
    </row>
    <row r="5" spans="1:8" ht="15" x14ac:dyDescent="0.4">
      <c r="A5" s="22">
        <v>46364243</v>
      </c>
      <c r="B5" s="23" t="s">
        <v>22</v>
      </c>
      <c r="C5" s="24" t="s">
        <v>23</v>
      </c>
      <c r="D5" s="25" t="s">
        <v>21</v>
      </c>
      <c r="E5" s="26">
        <v>6</v>
      </c>
      <c r="F5" s="47">
        <v>2</v>
      </c>
      <c r="G5" s="54">
        <v>3</v>
      </c>
    </row>
    <row r="6" spans="1:8" ht="15" x14ac:dyDescent="0.4">
      <c r="A6" s="27">
        <v>46335070</v>
      </c>
      <c r="B6" s="29" t="s">
        <v>24</v>
      </c>
      <c r="C6" s="25" t="s">
        <v>25</v>
      </c>
      <c r="D6" s="25" t="s">
        <v>16</v>
      </c>
      <c r="E6" s="26">
        <v>6</v>
      </c>
      <c r="F6" s="47">
        <v>2</v>
      </c>
      <c r="G6" s="21">
        <v>1</v>
      </c>
      <c r="H6" s="25" t="s">
        <v>83</v>
      </c>
    </row>
    <row r="7" spans="1:8" ht="15" x14ac:dyDescent="0.4">
      <c r="A7" s="27">
        <v>46335410</v>
      </c>
      <c r="B7" s="29" t="s">
        <v>26</v>
      </c>
      <c r="C7" s="25" t="s">
        <v>27</v>
      </c>
      <c r="D7" s="25" t="s">
        <v>16</v>
      </c>
      <c r="E7" s="26">
        <v>6</v>
      </c>
      <c r="F7" s="47">
        <v>2</v>
      </c>
      <c r="G7" s="21">
        <v>1</v>
      </c>
      <c r="H7" s="25" t="s">
        <v>83</v>
      </c>
    </row>
    <row r="8" spans="1:8" ht="15" x14ac:dyDescent="0.4">
      <c r="A8" s="27">
        <v>46313861</v>
      </c>
      <c r="B8" s="29" t="s">
        <v>28</v>
      </c>
      <c r="C8" s="29" t="s">
        <v>29</v>
      </c>
      <c r="D8" s="25" t="s">
        <v>30</v>
      </c>
      <c r="E8" s="26">
        <v>6</v>
      </c>
      <c r="F8" s="47">
        <v>2</v>
      </c>
      <c r="G8" s="21">
        <v>2</v>
      </c>
      <c r="H8" s="25" t="s">
        <v>84</v>
      </c>
    </row>
    <row r="9" spans="1:8" ht="15" x14ac:dyDescent="0.4">
      <c r="A9" s="27">
        <v>46313857</v>
      </c>
      <c r="B9" s="29" t="s">
        <v>31</v>
      </c>
      <c r="C9" s="29" t="s">
        <v>32</v>
      </c>
      <c r="D9" s="25" t="s">
        <v>30</v>
      </c>
      <c r="E9" s="26">
        <v>6</v>
      </c>
      <c r="F9" s="47">
        <v>2</v>
      </c>
      <c r="G9" s="21">
        <v>2</v>
      </c>
      <c r="H9" s="25" t="s">
        <v>84</v>
      </c>
    </row>
    <row r="10" spans="1:8" ht="15" x14ac:dyDescent="0.4">
      <c r="A10" s="27">
        <v>30060382</v>
      </c>
      <c r="B10" s="29" t="s">
        <v>33</v>
      </c>
      <c r="C10" s="25" t="s">
        <v>34</v>
      </c>
      <c r="D10" s="25" t="s">
        <v>30</v>
      </c>
      <c r="E10" s="26">
        <v>6</v>
      </c>
      <c r="F10" s="47">
        <v>2</v>
      </c>
      <c r="G10" s="21">
        <v>2</v>
      </c>
      <c r="H10" s="25" t="s">
        <v>84</v>
      </c>
    </row>
    <row r="11" spans="1:8" ht="15" x14ac:dyDescent="0.4">
      <c r="A11" s="27">
        <v>30031016</v>
      </c>
      <c r="B11" s="29" t="s">
        <v>35</v>
      </c>
      <c r="C11" s="25" t="s">
        <v>36</v>
      </c>
      <c r="D11" s="25" t="s">
        <v>30</v>
      </c>
      <c r="E11" s="26">
        <v>6</v>
      </c>
      <c r="F11" s="47">
        <v>2</v>
      </c>
      <c r="G11" s="21">
        <v>2</v>
      </c>
      <c r="H11" s="25" t="s">
        <v>84</v>
      </c>
    </row>
    <row r="12" spans="1:8" ht="15" x14ac:dyDescent="0.4">
      <c r="A12" s="27">
        <v>30029944</v>
      </c>
      <c r="B12" s="29" t="s">
        <v>37</v>
      </c>
      <c r="C12" s="29" t="s">
        <v>38</v>
      </c>
      <c r="D12" s="25" t="s">
        <v>30</v>
      </c>
      <c r="E12" s="26">
        <v>6</v>
      </c>
      <c r="F12" s="47">
        <v>2</v>
      </c>
      <c r="G12" s="21">
        <v>3</v>
      </c>
      <c r="H12" s="25" t="s">
        <v>85</v>
      </c>
    </row>
    <row r="13" spans="1:8" ht="15" x14ac:dyDescent="0.4">
      <c r="A13" s="27">
        <v>30030554</v>
      </c>
      <c r="B13" s="29" t="s">
        <v>39</v>
      </c>
      <c r="C13" s="25" t="s">
        <v>40</v>
      </c>
      <c r="D13" s="25" t="s">
        <v>30</v>
      </c>
      <c r="E13" s="26">
        <v>6</v>
      </c>
      <c r="F13" s="47">
        <v>2</v>
      </c>
      <c r="G13" s="21">
        <v>3</v>
      </c>
      <c r="H13" s="25" t="s">
        <v>85</v>
      </c>
    </row>
    <row r="14" spans="1:8" ht="15" x14ac:dyDescent="0.4">
      <c r="A14" s="39">
        <v>46333510</v>
      </c>
      <c r="B14" s="40" t="s">
        <v>41</v>
      </c>
      <c r="C14" s="40" t="s">
        <v>42</v>
      </c>
      <c r="D14" s="40" t="s">
        <v>16</v>
      </c>
      <c r="E14" s="41">
        <v>5</v>
      </c>
      <c r="F14" s="48">
        <v>2</v>
      </c>
      <c r="G14" s="21">
        <v>4</v>
      </c>
      <c r="H14" s="40" t="s">
        <v>86</v>
      </c>
    </row>
    <row r="15" spans="1:8" ht="15" x14ac:dyDescent="0.4">
      <c r="A15" s="39">
        <v>30020802</v>
      </c>
      <c r="B15" s="42" t="s">
        <v>43</v>
      </c>
      <c r="C15" s="43" t="s">
        <v>44</v>
      </c>
      <c r="D15" s="40" t="s">
        <v>21</v>
      </c>
      <c r="E15" s="41">
        <v>5</v>
      </c>
      <c r="F15" s="48">
        <v>2</v>
      </c>
      <c r="G15" s="21">
        <v>4</v>
      </c>
      <c r="H15" s="40" t="s">
        <v>86</v>
      </c>
    </row>
    <row r="16" spans="1:8" ht="15" x14ac:dyDescent="0.4">
      <c r="A16" s="39">
        <v>46221793</v>
      </c>
      <c r="B16" s="43" t="s">
        <v>45</v>
      </c>
      <c r="C16" s="43" t="s">
        <v>46</v>
      </c>
      <c r="D16" s="40" t="s">
        <v>30</v>
      </c>
      <c r="E16" s="41">
        <v>5</v>
      </c>
      <c r="F16" s="48">
        <v>2</v>
      </c>
      <c r="G16" s="6">
        <v>5</v>
      </c>
      <c r="H16" s="40" t="s">
        <v>87</v>
      </c>
    </row>
    <row r="17" spans="1:8" ht="15" x14ac:dyDescent="0.4">
      <c r="A17" s="39">
        <v>30059632</v>
      </c>
      <c r="B17" s="43" t="s">
        <v>47</v>
      </c>
      <c r="C17" s="43" t="s">
        <v>48</v>
      </c>
      <c r="D17" s="40" t="s">
        <v>30</v>
      </c>
      <c r="E17" s="41">
        <v>5</v>
      </c>
      <c r="F17" s="48">
        <v>2</v>
      </c>
      <c r="G17" s="6">
        <v>5</v>
      </c>
      <c r="H17" s="40" t="s">
        <v>87</v>
      </c>
    </row>
    <row r="18" spans="1:8" ht="15" x14ac:dyDescent="0.4">
      <c r="A18" s="39">
        <v>46125671</v>
      </c>
      <c r="B18" s="40" t="s">
        <v>49</v>
      </c>
      <c r="C18" s="43" t="s">
        <v>50</v>
      </c>
      <c r="D18" s="40" t="s">
        <v>30</v>
      </c>
      <c r="E18" s="41">
        <v>5</v>
      </c>
      <c r="F18" s="48">
        <v>2</v>
      </c>
      <c r="G18" s="6">
        <v>5</v>
      </c>
      <c r="H18" s="40" t="s">
        <v>87</v>
      </c>
    </row>
    <row r="19" spans="1:8" ht="15" x14ac:dyDescent="0.4">
      <c r="A19" s="39">
        <v>46335888</v>
      </c>
      <c r="B19" s="43" t="s">
        <v>51</v>
      </c>
      <c r="C19" s="43" t="s">
        <v>52</v>
      </c>
      <c r="D19" s="40" t="s">
        <v>16</v>
      </c>
      <c r="E19" s="41">
        <v>5</v>
      </c>
      <c r="F19" s="48">
        <v>2</v>
      </c>
      <c r="G19" s="6">
        <v>4</v>
      </c>
      <c r="H19" s="40" t="s">
        <v>86</v>
      </c>
    </row>
    <row r="20" spans="1:8" ht="15" x14ac:dyDescent="0.4">
      <c r="A20" s="39">
        <v>46364217</v>
      </c>
      <c r="B20" s="44" t="s">
        <v>53</v>
      </c>
      <c r="C20" s="43" t="s">
        <v>54</v>
      </c>
      <c r="D20" s="40" t="s">
        <v>21</v>
      </c>
      <c r="E20" s="41">
        <v>5</v>
      </c>
      <c r="F20" s="48">
        <v>2</v>
      </c>
      <c r="G20" s="6">
        <v>4</v>
      </c>
      <c r="H20" s="40" t="s">
        <v>86</v>
      </c>
    </row>
    <row r="21" spans="1:8" x14ac:dyDescent="0.35">
      <c r="A21" s="30">
        <v>46335317</v>
      </c>
      <c r="B21" s="31" t="s">
        <v>55</v>
      </c>
      <c r="C21" s="31" t="s">
        <v>56</v>
      </c>
      <c r="D21" s="31" t="s">
        <v>16</v>
      </c>
      <c r="E21" s="32">
        <v>4</v>
      </c>
      <c r="F21" s="48">
        <v>2</v>
      </c>
      <c r="G21" s="6">
        <v>6</v>
      </c>
      <c r="H21" s="31" t="s">
        <v>88</v>
      </c>
    </row>
    <row r="22" spans="1:8" x14ac:dyDescent="0.35">
      <c r="A22" s="30">
        <v>46335327</v>
      </c>
      <c r="B22" s="31" t="s">
        <v>57</v>
      </c>
      <c r="C22" s="31" t="s">
        <v>58</v>
      </c>
      <c r="D22" s="31" t="s">
        <v>16</v>
      </c>
      <c r="E22" s="32">
        <v>4</v>
      </c>
      <c r="F22" s="48">
        <v>2</v>
      </c>
      <c r="G22" s="6">
        <v>6</v>
      </c>
      <c r="H22" s="31" t="s">
        <v>88</v>
      </c>
    </row>
    <row r="23" spans="1:8" x14ac:dyDescent="0.35">
      <c r="A23" s="33">
        <v>30020740</v>
      </c>
      <c r="B23" s="34" t="s">
        <v>59</v>
      </c>
      <c r="C23" s="31" t="s">
        <v>60</v>
      </c>
      <c r="D23" s="31" t="s">
        <v>21</v>
      </c>
      <c r="E23" s="32">
        <v>4</v>
      </c>
      <c r="F23" s="48">
        <v>2</v>
      </c>
      <c r="G23" s="6">
        <v>6</v>
      </c>
      <c r="H23" s="31" t="s">
        <v>88</v>
      </c>
    </row>
    <row r="24" spans="1:8" x14ac:dyDescent="0.35">
      <c r="A24" s="33">
        <v>30020792</v>
      </c>
      <c r="B24" s="34" t="s">
        <v>61</v>
      </c>
      <c r="C24" s="31" t="s">
        <v>62</v>
      </c>
      <c r="D24" s="31" t="s">
        <v>21</v>
      </c>
      <c r="E24" s="32">
        <v>4</v>
      </c>
      <c r="F24" s="48">
        <v>2</v>
      </c>
      <c r="G24" s="6">
        <v>6</v>
      </c>
      <c r="H24" s="31" t="s">
        <v>88</v>
      </c>
    </row>
    <row r="25" spans="1:8" x14ac:dyDescent="0.35">
      <c r="A25" s="36">
        <v>46313858</v>
      </c>
      <c r="B25" s="37" t="s">
        <v>63</v>
      </c>
      <c r="C25" s="35" t="s">
        <v>64</v>
      </c>
      <c r="D25" s="35" t="s">
        <v>30</v>
      </c>
      <c r="E25" s="38">
        <v>3</v>
      </c>
      <c r="F25" s="48">
        <v>2</v>
      </c>
      <c r="G25" s="63">
        <v>7</v>
      </c>
    </row>
  </sheetData>
  <autoFilter ref="A1:G25" xr:uid="{E569C9A4-D821-448A-A4CA-A88FA9AFC88A}"/>
  <conditionalFormatting sqref="C5">
    <cfRule type="duplicateValues" dxfId="3" priority="3"/>
    <cfRule type="duplicateValues" dxfId="2" priority="4"/>
  </conditionalFormatting>
  <conditionalFormatting sqref="C15:C20">
    <cfRule type="duplicateValues" dxfId="1" priority="1"/>
    <cfRule type="duplicateValues" dxfId="0" priority="2"/>
  </conditionalFormatting>
  <hyperlinks>
    <hyperlink ref="C19" r:id="rId1" xr:uid="{BDEF6AD6-403A-43DA-9917-DB617FED7EF3}"/>
    <hyperlink ref="C18" r:id="rId2" xr:uid="{1A59AEB0-D0BC-4DA1-A5BF-80573F1F4BC1}"/>
    <hyperlink ref="C22" r:id="rId3" xr:uid="{D361C7B9-DEC6-49A1-B8D0-B5427EA8F475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Joshi, Medha</dc:creator>
  <cp:keywords/>
  <dc:description/>
  <cp:lastModifiedBy>Jangid, Mukesh Kumar</cp:lastModifiedBy>
  <cp:revision/>
  <dcterms:created xsi:type="dcterms:W3CDTF">2015-06-05T18:17:20Z</dcterms:created>
  <dcterms:modified xsi:type="dcterms:W3CDTF">2026-03-17T10:51:40Z</dcterms:modified>
  <cp:category/>
  <cp:contentStatus/>
</cp:coreProperties>
</file>